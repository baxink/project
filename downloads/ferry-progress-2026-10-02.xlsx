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0f6154725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进度" sheetId="1" r:id="R31aa6eabbb2044b5"/>
    <x:sheet xmlns:r="http://schemas.openxmlformats.org/officeDocument/2006/relationships" name="专项跟踪" sheetId="2" r:id="R706be5e9714e49dc"/>
    <x:sheet xmlns:r="http://schemas.openxmlformats.org/officeDocument/2006/relationships" name="证据索引" sheetId="3" r:id="R80e233490e5d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43449"/>
      <x:name val="Arial"/>
    </x:font>
    <x:font>
      <x:b/>
      <x:sz val="16"/>
      <x:color rgb="FF18334E"/>
      <x:name val="Arial"/>
    </x:font>
    <x:font>
      <x:b/>
      <x:sz val="11"/>
      <x:color rgb="FFFFFFFF"/>
      <x:name val="Arial"/>
    </x:font>
    <x:font>
      <x:sz val="11"/>
      <x:color rgb="FF6B5B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F7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CA5BB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5">
    <x:dxf>
      <x:font>
        <x:color rgb="FF236043"/>
      </x:font>
      <x:fill>
        <x:patternFill patternType="solid">
          <x:bgColor rgb="FFE5F1E9"/>
        </x:patternFill>
      </x:fill>
    </x:dxf>
    <x:dxf>
      <x:font>
        <x:color rgb="FF236043"/>
      </x:font>
      <x:fill>
        <x:patternFill patternType="solid">
          <x:bgColor rgb="FFE5F1E9"/>
        </x:patternFill>
      </x:fill>
    </x:dxf>
    <x:dxf>
      <x:font>
        <x:color rgb="FF876021"/>
      </x:font>
      <x:fill>
        <x:patternFill patternType="solid">
          <x:bgColor rgb="FFFFF1D9"/>
        </x:patternFill>
      </x:fill>
    </x:dxf>
    <x:dxf>
      <x:font>
        <x:color rgb="FF9C3931"/>
      </x:font>
      <x:fill>
        <x:patternFill patternType="solid">
          <x:bgColor rgb="FFFCE7E5"/>
        </x:patternFill>
      </x:fill>
    </x:dxf>
    <x:dxf>
      <x:font>
        <x:color rgb="FF9C3931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61dd2789148c0" /><Relationship Type="http://schemas.openxmlformats.org/officeDocument/2006/relationships/theme" Target="/xl/theme/theme1.xml" Id="R39e7dfb2cad94a4d" /><Relationship Type="http://schemas.openxmlformats.org/officeDocument/2006/relationships/sharedStrings" Target="/xl/sharedStrings.xml" Id="R1ea8530a64df439f" /><Relationship Type="http://schemas.openxmlformats.org/officeDocument/2006/relationships/worksheet" Target="/xl/worksheets/sheet1.xml" Id="R31aa6eabbb2044b5" /><Relationship Type="http://schemas.openxmlformats.org/officeDocument/2006/relationships/worksheet" Target="/xl/worksheets/sheet2.xml" Id="R706be5e9714e49dc" /><Relationship Type="http://schemas.openxmlformats.org/officeDocument/2006/relationships/worksheet" Target="/xl/worksheets/sheet3.xml" Id="R80e233490e5d4a37" /></Relationships>
</file>

<file path=xl/tables/table1.xml><?xml version="1.0" encoding="utf-8"?>
<x:table xmlns:x="http://schemas.openxmlformats.org/spreadsheetml/2006/main" id="1" name="Stages" displayName="Stages" ref="A7:H15" headerRowCount="1" totalsRowCount="0" totalsRowShown="0">
  <x:autoFilter ref="A7:H15"/>
  <x:tableColumns count="8">
    <x:tableColumn id="1" name="阶段"/>
    <x:tableColumn id="2" name="资料反映的状态"/>
    <x:tableColumn id="3" name="最近证据日"/>
    <x:tableColumn id="4" name="已证实进展及缺口"/>
    <x:tableColumn id="5" name="下一步"/>
    <x:tableColumn id="6" name="负责人（填写）"/>
    <x:tableColumn id="7" name="计划完成日（填写）"/>
    <x:tableColumn id="8" name="证据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s" displayName="Actions" ref="A7:K23" headerRowCount="1" totalsRowCount="0" totalsRowShown="0">
  <x:autoFilter ref="A7:K23"/>
  <x:tableColumns count="11">
    <x:tableColumn id="1" name="ID"/>
    <x:tableColumn id="2" name="适用船型"/>
    <x:tableColumn id="3" name="专项"/>
    <x:tableColumn id="4" name="资料状态"/>
    <x:tableColumn id="5" name="事实及待完成动作"/>
    <x:tableColumn id="6" name="建议牵头"/>
    <x:tableColumn id="7" name="建议完成节点"/>
    <x:tableColumn id="8" name="计划日（填写）"/>
    <x:tableColumn id="9" name="实际日（填写）"/>
    <x:tableColumn id="10" name="核实人（填写）"/>
    <x:tableColumn id="11" name="证据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" displayName="Evidence" ref="A7:F37" headerRowCount="1" totalsRowCount="0" totalsRowShown="0">
  <x:autoFilter ref="A7:F37"/>
  <x:tableColumns count="6">
    <x:tableColumn id="1" name="证据ID"/>
    <x:tableColumn id="2" name="正文日期"/>
    <x:tableColumn id="3" name="适用范围"/>
    <x:tableColumn id="4" name="审图控制号/资料"/>
    <x:tableColumn id="5" name="原文结果或核对结论"/>
    <x:tableColumn id="6" name="来源位置（项目目录内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17a22812cb4d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7f0c56548b4d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0ba5f546964611" /></Relationships>
</file>

<file path=xl/worksheets/sheet1.xml><?xml version="1.0" encoding="utf-8"?>
<x:worksheet xmlns:x="http://schemas.openxmlformats.org/spreadsheetml/2006/main">
  <x:sheetPr>
    <x:tabColor rgb="FF244F7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.779999732971191" hidden="0" customWidth="1"/>
    <x:col min="2" max="2" width="24.440000534057617" hidden="0" customWidth="1"/>
    <x:col min="3" max="3" width="12.220000267028809" hidden="0" customWidth="1"/>
    <x:col min="4" max="4" width="52.220001220703125" hidden="0" customWidth="1"/>
    <x:col min="5" max="5" width="48.88999938964844" hidden="0" customWidth="1"/>
    <x:col min="6" max="6" width="15.5600004196167" hidden="0" customWidth="1"/>
    <x:col min="7" max="7" width="15.5600004196167" hidden="0" customWidth="1"/>
    <x:col min="8" max="8" width="19.440000534057617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上海轮渡电推项目进度表</x:v>
      </x:c>
      <x:c r="B2" s="5"/>
      <x:c r="C2" s="5"/>
      <x:c r="D2" s="5"/>
      <x:c r="E2" s="5"/>
      <x:c r="F2" s="5"/>
      <x:c r="G2" s="5"/>
      <x:c r="H2" s="5"/>
    </x:row>
    <x:row r="3" ht="30" customHeight="1">
      <x:c r="A3" s="2" t="str">
        <x:v>整理日期</x:v>
      </x:c>
      <x:c r="B3" s="6" t="d">
        <x:v>2026-10-02T00:00:00.000Z</x:v>
      </x:c>
      <x:c r="C3" s="2"/>
      <x:c r="D3" s="2" t="str">
        <x:v>范围：单层上海轮渡16；双层上海轮渡13、15。</x:v>
      </x:c>
      <x:c r="E3" s="2"/>
      <x:c r="F3" s="2"/>
      <x:c r="G3" s="2"/>
      <x:c r="H3" s="2"/>
    </x:row>
    <x:row r="4" ht="30" customHeight="1">
      <x:c r="A4" s="2" t="str">
        <x:v>资料截至</x:v>
      </x:c>
      <x:c r="B4" s="6" t="d">
        <x:v>2026-09-03T00:00:00.000Z</x:v>
      </x:c>
      <x:c r="C4" s="2"/>
      <x:c r="D4" s="2" t="str">
        <x:v>实际制造、安装及试验进度未见实绩资料，完成率未量化。</x:v>
      </x:c>
      <x:c r="E4" s="2"/>
      <x:c r="F4" s="2"/>
      <x:c r="G4" s="2"/>
      <x:c r="H4" s="2"/>
    </x:row>
    <x:row r="5" ht="30" customHeight="1">
      <x:c r="A5" s="2"/>
      <x:c r="B5" s="2"/>
      <x:c r="C5" s="2"/>
      <x:c r="D5" s="2" t="str">
        <x:v>黄色列供更新负责人和计划日。文件获批仅表示该文件审查结果。</x:v>
      </x:c>
      <x:c r="E5" s="2"/>
      <x:c r="F5" s="2"/>
      <x:c r="G5" s="2"/>
      <x:c r="H5" s="2"/>
    </x:row>
    <x:row r="6" ht="30" customHeight="1">
      <x:c r="A6" s="2"/>
      <x:c r="B6" s="2"/>
      <x:c r="C6" s="2"/>
      <x:c r="D6" s="2"/>
      <x:c r="E6" s="2"/>
      <x:c r="F6" s="2"/>
      <x:c r="G6" s="2"/>
      <x:c r="H6" s="2"/>
    </x:row>
    <x:row r="7" ht="36" customHeight="1">
      <x:c r="A7" s="10" t="str">
        <x:v>阶段</x:v>
      </x:c>
      <x:c r="B7" s="10" t="str">
        <x:v>资料反映的状态</x:v>
      </x:c>
      <x:c r="C7" s="10" t="str">
        <x:v>最近证据日</x:v>
      </x:c>
      <x:c r="D7" s="10" t="str">
        <x:v>已证实进展及缺口</x:v>
      </x:c>
      <x:c r="E7" s="10" t="str">
        <x:v>下一步</x:v>
      </x:c>
      <x:c r="F7" s="10" t="str">
        <x:v>负责人（填写）</x:v>
      </x:c>
      <x:c r="G7" s="10" t="str">
        <x:v>计划完成日（填写）</x:v>
      </x:c>
      <x:c r="H7" s="10" t="str">
        <x:v>证据ID</x:v>
      </x:c>
    </x:row>
    <x:row r="8" ht="82" customHeight="1">
      <x:c r="A8" s="11" t="str">
        <x:v>合同</x:v>
      </x:c>
      <x:c r="B8" s="11" t="str">
        <x:v>签署状态待核实</x:v>
      </x:c>
      <x:c r="C8" s="12" t="d">
        <x:v>2026-02-04T00:00:00.000Z</x:v>
      </x:c>
      <x:c r="D8" s="11" t="str">
        <x:v>已有技术协议；未见生效合同、采购订单。</x:v>
      </x:c>
      <x:c r="E8" s="11" t="str">
        <x:v>补合同生效日，确认150天设备交货期限。</x:v>
      </x:c>
      <x:c r="F8" s="13"/>
      <x:c r="G8" s="14"/>
      <x:c r="H8" s="11" t="str">
        <x:v>E25</x:v>
      </x:c>
    </x:row>
    <x:row r="9" ht="82" customHeight="1">
      <x:c r="A9" s="11" t="str">
        <x:v>设计</x:v>
      </x:c>
      <x:c r="B9" s="11" t="str">
        <x:v>已形成多版图纸</x:v>
      </x:c>
      <x:c r="C9" s="12" t="d">
        <x:v>2026-09-02T00:00:00.000Z</x:v>
      </x:c>
      <x:c r="D9" s="11" t="str">
        <x:v>已有电气、轮机、轴系、管系图纸和计算书；冻结版清单待确认。</x:v>
      </x:c>
      <x:c r="E9" s="11" t="str">
        <x:v>按SMU4126/4127分别确认有效图纸及接口版本。</x:v>
      </x:c>
      <x:c r="F9" s="13"/>
      <x:c r="G9" s="14"/>
      <x:c r="H9" s="11" t="str">
        <x:v>E01-E24、E25</x:v>
      </x:c>
    </x:row>
    <x:row r="10" ht="82" customHeight="1">
      <x:c r="A10" s="11" t="str">
        <x:v>审图</x:v>
      </x:c>
      <x:c r="B10" s="11" t="str">
        <x:v>多轮获批，全面关闭待核实</x:v>
      </x:c>
      <x:c r="C10" s="12" t="d">
        <x:v>2026-09-03T00:00:00.000Z</x:v>
      </x:c>
      <x:c r="D10" s="11" t="str">
        <x:v>单层电气答复7月获批；双层电气答复9月获批；两类艉管9月获批。</x:v>
      </x:c>
      <x:c r="E10" s="11" t="str">
        <x:v>汇总P项关闭和S/TS现场核查；补船体前窗意见关闭证明。</x:v>
      </x:c>
      <x:c r="F10" s="13"/>
      <x:c r="G10" s="14"/>
      <x:c r="H10" s="11" t="str">
        <x:v>E04、E05、E15、E11、E14、E24</x:v>
      </x:c>
    </x:row>
    <x:row r="11" ht="82" customHeight="1">
      <x:c r="A11" s="11" t="str">
        <x:v>建造</x:v>
      </x:c>
      <x:c r="B11" s="11" t="str">
        <x:v>实际进度待核实</x:v>
      </x:c>
      <x:c r="C11" s="12"/>
      <x:c r="D11" s="11" t="str">
        <x:v>仅见谐波更新事项；目录1-10为示例，未见制造、到货或安装实绩。</x:v>
      </x:c>
      <x:c r="E11" s="11" t="str">
        <x:v>补设备制造/到货/安装计划及检验记录；更新谐波计算。</x:v>
      </x:c>
      <x:c r="F11" s="13"/>
      <x:c r="G11" s="14"/>
      <x:c r="H11" s="11" t="str">
        <x:v>E26、E27</x:v>
      </x:c>
    </x:row>
    <x:row r="12" ht="82" customHeight="1">
      <x:c r="A12" s="11" t="str">
        <x:v>系泊</x:v>
      </x:c>
      <x:c r="B12" s="11" t="str">
        <x:v>未见完成记录</x:v>
      </x:c>
      <x:c r="C12" s="12"/>
      <x:c r="D12" s="11" t="str">
        <x:v>未见认可试验大纲、调试报告、系泊验收记录。</x:v>
      </x:c>
      <x:c r="E12" s="11" t="str">
        <x:v>准备PMS、控制/保护、谐波与温度试验并形成记录。</x:v>
      </x:c>
      <x:c r="F12" s="13"/>
      <x:c r="G12" s="14"/>
      <x:c r="H12" s="11" t="str">
        <x:v>E25、E27、E28</x:v>
      </x:c>
    </x:row>
    <x:row r="13" ht="82" customHeight="1">
      <x:c r="A13" s="11" t="str">
        <x:v>试航</x:v>
      </x:c>
      <x:c r="B13" s="11" t="str">
        <x:v>未见完成记录</x:v>
      </x:c>
      <x:c r="C13" s="12"/>
      <x:c r="D13" s="11" t="str">
        <x:v>未见航行试验大纲、试航报告及航行谐波测试报告。</x:v>
      </x:c>
      <x:c r="E13" s="11" t="str">
        <x:v>确认试航条件，安排航行性能及谐波测试。</x:v>
      </x:c>
      <x:c r="F13" s="13"/>
      <x:c r="G13" s="14"/>
      <x:c r="H13" s="11" t="str">
        <x:v>E25</x:v>
      </x:c>
    </x:row>
    <x:row r="14" ht="82" customHeight="1">
      <x:c r="A14" s="11" t="str">
        <x:v>发证</x:v>
      </x:c>
      <x:c r="B14" s="11" t="str">
        <x:v>未见证书实绩</x:v>
      </x:c>
      <x:c r="C14" s="12"/>
      <x:c r="D14" s="11" t="str">
        <x:v>有产品证书交付要求及现场核查意见；未见证书清单实物。</x:v>
      </x:c>
      <x:c r="E14" s="11" t="str">
        <x:v>收齐设备产品证书，确认船舶发证所需资料。</x:v>
      </x:c>
      <x:c r="F14" s="13"/>
      <x:c r="G14" s="14"/>
      <x:c r="H14" s="11" t="str">
        <x:v>E25、E07、E18</x:v>
      </x:c>
    </x:row>
    <x:row r="15" ht="82" customHeight="1">
      <x:c r="A15" s="11" t="str">
        <x:v>交船</x:v>
      </x:c>
      <x:c r="B15" s="11" t="str">
        <x:v>未见交付记录</x:v>
      </x:c>
      <x:c r="C15" s="12"/>
      <x:c r="D15" s="11" t="str">
        <x:v>未见交船验收单、完工图交付、培训签收。</x:v>
      </x:c>
      <x:c r="E15" s="11" t="str">
        <x:v>确认交船日及交付清单，跟踪交船后1个月完工图。</x:v>
      </x:c>
      <x:c r="F15" s="13"/>
      <x:c r="G15" s="14"/>
      <x:c r="H15" s="11" t="str">
        <x:v>E25、E28</x:v>
      </x:c>
    </x:row>
    <x:row r="16" ht="30" customHeight="1">
      <x:c r="A16" s="2"/>
      <x:c r="B16" s="2"/>
      <x:c r="C16" s="2"/>
      <x:c r="D16" s="2"/>
      <x:c r="E16" s="2"/>
      <x:c r="F16" s="2"/>
      <x:c r="G16" s="2"/>
      <x:c r="H16" s="2"/>
    </x:row>
    <x:row r="17" ht="30" customHeight="1">
      <x:c r="A17" s="2"/>
      <x:c r="B17" s="2"/>
      <x:c r="C17" s="2"/>
      <x:c r="D17" s="16" t="str">
        <x:v>目录历史标记：审图 █░░░░░░░░░ 1-10（2026-04-29）；建造 █░░░░░░░░░ 1-10（2026-05-07）。</x:v>
      </x:c>
      <x:c r="E17" s="16"/>
      <x:c r="F17" s="16"/>
      <x:c r="G17" s="16"/>
      <x:c r="H17" s="16"/>
    </x:row>
    <x:row r="18" ht="30" customHeight="1">
      <x:c r="A18" s="2"/>
      <x:c r="B18" s="2"/>
      <x:c r="C18" s="2"/>
      <x:c r="D18" s="16" t="str">
        <x:v>建造README明确为示例，以上标记不作为当前10%完成率。</x:v>
      </x:c>
      <x:c r="E18" s="16"/>
      <x:c r="F18" s="16"/>
      <x:c r="G18" s="16"/>
      <x:c r="H18" s="16"/>
    </x:row>
    <x:row r="19" ht="30" customHeight="1">
      <x:c r="A19" s="2"/>
      <x:c r="B19" s="2"/>
      <x:c r="C19" s="2"/>
      <x:c r="D19" s="16" t="str">
        <x:v>进度更新依据：真实制造、到货、安装与检验数量；未见记录不等于未开展。</x:v>
      </x:c>
      <x:c r="E19" s="16"/>
      <x:c r="F19" s="16"/>
      <x:c r="G19" s="16"/>
      <x:c r="H19" s="16"/>
    </x:row>
    <x:row r="20" ht="30" customHeight="1">
      <x:c r="A20" s="2"/>
      <x:c r="B20" s="2"/>
      <x:c r="C20" s="2"/>
      <x:c r="D20" s="16" t="str">
        <x:v>交货日=合同生效日+150天；合同生效日尚缺，无法判断是否延期。</x:v>
      </x:c>
      <x:c r="E20" s="16"/>
      <x:c r="F20" s="16"/>
      <x:c r="G20" s="16"/>
      <x:c r="H20" s="16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</x:row>
  </x:sheetData>
  <x:pageMargins left="0.7" right="0.7" top="0.75" bottom="0.75" header="0.3" footer="0.3"/>
  <x:tableParts count="1">
    <x:tablePart xmlns:r="http://schemas.openxmlformats.org/officeDocument/2006/relationships" r:id="R0517a22812cb4d6c"/>
  </x:tableParts>
</x:worksheet>
</file>

<file path=xl/worksheets/sheet2.xml><?xml version="1.0" encoding="utf-8"?>
<x:worksheet xmlns:x="http://schemas.openxmlformats.org/spreadsheetml/2006/main">
  <x:sheetPr>
    <x:tabColor rgb="FF244F7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7.329999923706055" hidden="0" customWidth="1"/>
    <x:col min="2" max="2" width="15" hidden="0" customWidth="1"/>
    <x:col min="3" max="3" width="20.559999465942383" hidden="0" customWidth="1"/>
    <x:col min="4" max="4" width="15.5600004196167" hidden="0" customWidth="1"/>
    <x:col min="5" max="5" width="65.55999755859375" hidden="0" customWidth="1"/>
    <x:col min="6" max="6" width="21.670000076293945" hidden="0" customWidth="1"/>
    <x:col min="7" max="7" width="21.110000610351562" hidden="0" customWidth="1"/>
    <x:col min="8" max="8" width="16.110000610351562" hidden="0" customWidth="1"/>
    <x:col min="9" max="9" width="16.110000610351562" hidden="0" customWidth="1"/>
    <x:col min="10" max="10" width="15.5600004196167" hidden="0" customWidth="1"/>
    <x:col min="11" max="11" width="23.32999992370605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专项工作跟踪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2" t="str">
        <x:v>资料状态与现场完成情况分开记录。建议牵头与完成节点须由项目负责人确认。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2" t="str">
        <x:v>黄色列供填写计划日、实际日、核实人。缺少完成记录的事项保留待核实状态。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 t="str">
        <x:v>已获批文件项数</x:v>
      </x:c>
      <x:c r="B5" s="2"/>
      <x:c r="C5" s="2" t="n">
        <x:f>COUNTIFS(D8:D23,"文件获批")</x:f>
        <x:v>4</x:v>
      </x:c>
      <x:c r="D5" s="2"/>
      <x:c r="E5" s="2" t="str">
        <x:v>该计数仅统计本表列出的4个文件工作包，不是工程完成率。</x:v>
      </x:c>
      <x:c r="F5" s="2"/>
      <x:c r="G5" s="2"/>
      <x:c r="H5" s="2"/>
      <x:c r="I5" s="2"/>
      <x:c r="J5" s="2"/>
      <x:c r="K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6" customHeight="1">
      <x:c r="A7" s="10" t="str">
        <x:v>ID</x:v>
      </x:c>
      <x:c r="B7" s="10" t="str">
        <x:v>适用船型</x:v>
      </x:c>
      <x:c r="C7" s="10" t="str">
        <x:v>专项</x:v>
      </x:c>
      <x:c r="D7" s="10" t="str">
        <x:v>资料状态</x:v>
      </x:c>
      <x:c r="E7" s="10" t="str">
        <x:v>事实及待完成动作</x:v>
      </x:c>
      <x:c r="F7" s="10" t="str">
        <x:v>建议牵头</x:v>
      </x:c>
      <x:c r="G7" s="10" t="str">
        <x:v>建议完成节点</x:v>
      </x:c>
      <x:c r="H7" s="10" t="str">
        <x:v>计划日（填写）</x:v>
      </x:c>
      <x:c r="I7" s="10" t="str">
        <x:v>实际日（填写）</x:v>
      </x:c>
      <x:c r="J7" s="10" t="str">
        <x:v>核实人（填写）</x:v>
      </x:c>
      <x:c r="K7" s="10" t="str">
        <x:v>证据ID</x:v>
      </x:c>
    </x:row>
    <x:row r="8" ht="90" customHeight="1">
      <x:c r="A8" s="11" t="str">
        <x:v>T01</x:v>
      </x:c>
      <x:c r="B8" s="11" t="str">
        <x:v>单层16</x:v>
      </x:c>
      <x:c r="C8" s="11" t="str">
        <x:v>电气意见答复</x:v>
      </x:c>
      <x:c r="D8" s="11" t="str">
        <x:v>文件获批</x:v>
      </x:c>
      <x:c r="E8" s="11" t="str">
        <x:v>003E答复7月30日、001E修改通知单7月31日获A；核对修改已落实有效施工图。</x:v>
      </x:c>
      <x:c r="F8" s="11" t="str">
        <x:v>设计院/集成商</x:v>
      </x:c>
      <x:c r="G8" s="11" t="str">
        <x:v>施工图冻结前</x:v>
      </x:c>
      <x:c r="H8" s="14"/>
      <x:c r="I8" s="14"/>
      <x:c r="J8" s="13"/>
      <x:c r="K8" s="11" t="str">
        <x:v>E04、E05</x:v>
      </x:c>
    </x:row>
    <x:row r="9" ht="90" customHeight="1">
      <x:c r="A9" s="11" t="str">
        <x:v>T02</x:v>
      </x:c>
      <x:c r="B9" s="11" t="str">
        <x:v>双层13、15</x:v>
      </x:c>
      <x:c r="C9" s="11" t="str">
        <x:v>电气意见答复</x:v>
      </x:c>
      <x:c r="D9" s="11" t="str">
        <x:v>文件获批</x:v>
      </x:c>
      <x:c r="E9" s="11" t="str">
        <x:v>001E答复9月3日获A；核对有效图纸与答复一致，追踪现场核查项。</x:v>
      </x:c>
      <x:c r="F9" s="11" t="str">
        <x:v>设计院/集成商</x:v>
      </x:c>
      <x:c r="G9" s="11" t="str">
        <x:v>施工图冻结前</x:v>
      </x:c>
      <x:c r="H9" s="14"/>
      <x:c r="I9" s="14"/>
      <x:c r="J9" s="13"/>
      <x:c r="K9" s="11" t="str">
        <x:v>E15、E30</x:v>
      </x:c>
    </x:row>
    <x:row r="10" ht="90" customHeight="1">
      <x:c r="A10" s="11" t="str">
        <x:v>T03</x:v>
      </x:c>
      <x:c r="B10" s="11" t="str">
        <x:v>两类船</x:v>
      </x:c>
      <x:c r="C10" s="11" t="str">
        <x:v>轮机管系答复</x:v>
      </x:c>
      <x:c r="D10" s="11" t="str">
        <x:v>文件获批</x:v>
      </x:c>
      <x:c r="E10" s="11" t="str">
        <x:v>B版管系及005M答复已获A；不代表安装和现场验收完成。</x:v>
      </x:c>
      <x:c r="F10" s="11" t="str">
        <x:v>设计院/船厂</x:v>
      </x:c>
      <x:c r="G10" s="11" t="str">
        <x:v>现场验收前</x:v>
      </x:c>
      <x:c r="H10" s="14"/>
      <x:c r="I10" s="14"/>
      <x:c r="J10" s="13"/>
      <x:c r="K10" s="11" t="str">
        <x:v>E12、E22、E13、E23</x:v>
      </x:c>
    </x:row>
    <x:row r="11" ht="90" customHeight="1">
      <x:c r="A11" s="11" t="str">
        <x:v>T04</x:v>
      </x:c>
      <x:c r="B11" s="11" t="str">
        <x:v>两类船</x:v>
      </x:c>
      <x:c r="C11" s="11" t="str">
        <x:v>艉管图</x:v>
      </x:c>
      <x:c r="D11" s="11" t="str">
        <x:v>文件获批</x:v>
      </x:c>
      <x:c r="E11" s="11" t="str">
        <x:v>两类艉管图均于9月2日获A；双层图文件存于单层目录，需校正索引。</x:v>
      </x:c>
      <x:c r="F11" s="11" t="str">
        <x:v>设计院/船厂</x:v>
      </x:c>
      <x:c r="G11" s="11" t="str">
        <x:v>轴系安装前</x:v>
      </x:c>
      <x:c r="H11" s="14"/>
      <x:c r="I11" s="14"/>
      <x:c r="J11" s="13"/>
      <x:c r="K11" s="11" t="str">
        <x:v>E11、E14</x:v>
      </x:c>
    </x:row>
    <x:row r="12" ht="90" customHeight="1">
      <x:c r="A12" s="11" t="str">
        <x:v>T05</x:v>
      </x:c>
      <x:c r="B12" s="11" t="str">
        <x:v>双层13、15</x:v>
      </x:c>
      <x:c r="C12" s="11" t="str">
        <x:v>驾驶台前窗</x:v>
      </x:c>
      <x:c r="D12" s="11" t="str">
        <x:v>关闭待核实</x:v>
      </x:c>
      <x:c r="E12" s="11" t="str">
        <x:v>012H仍要求驾驶台正前窗顶部向外倾斜；未见后续回复或获批记录。</x:v>
      </x:c>
      <x:c r="F12" s="11" t="str">
        <x:v>设计院</x:v>
      </x:c>
      <x:c r="G12" s="11" t="str">
        <x:v>相应施工前</x:v>
      </x:c>
      <x:c r="H12" s="14"/>
      <x:c r="I12" s="14"/>
      <x:c r="J12" s="13"/>
      <x:c r="K12" s="11" t="str">
        <x:v>E24</x:v>
      </x:c>
    </x:row>
    <x:row r="13" ht="90" customHeight="1">
      <x:c r="A13" s="11" t="str">
        <x:v>T06</x:v>
      </x:c>
      <x:c r="B13" s="11" t="str">
        <x:v>两类船</x:v>
      </x:c>
      <x:c r="C13" s="11" t="str">
        <x:v>电机及齿轮箱安装</x:v>
      </x:c>
      <x:c r="D13" s="11" t="str">
        <x:v>现场待核实</x:v>
      </x:c>
      <x:c r="E13" s="11" t="str">
        <x:v>安装图TS，转现场验船师；未见安装、找正、检验报告。</x:v>
      </x:c>
      <x:c r="F13" s="11" t="str">
        <x:v>船厂/验船师</x:v>
      </x:c>
      <x:c r="G13" s="11" t="str">
        <x:v>系泊前</x:v>
      </x:c>
      <x:c r="H13" s="14"/>
      <x:c r="I13" s="14"/>
      <x:c r="J13" s="13"/>
      <x:c r="K13" s="11" t="str">
        <x:v>E07、E18</x:v>
      </x:c>
    </x:row>
    <x:row r="14" ht="90" customHeight="1">
      <x:c r="A14" s="11" t="str">
        <x:v>T07</x:v>
      </x:c>
      <x:c r="B14" s="11" t="str">
        <x:v>两类船</x:v>
      </x:c>
      <x:c r="C14" s="11" t="str">
        <x:v>制造、到货、安装</x:v>
      </x:c>
      <x:c r="D14" s="11" t="str">
        <x:v>实绩待核实</x:v>
      </x:c>
      <x:c r="E14" s="11" t="str">
        <x:v>补设备订单、制造节点、FAT报告、到货及安装记录，建立真实完成率。</x:v>
      </x:c>
      <x:c r="F14" s="11" t="str">
        <x:v>船厂/集成商</x:v>
      </x:c>
      <x:c r="G14" s="11" t="str">
        <x:v>立即补齐基线</x:v>
      </x:c>
      <x:c r="H14" s="14"/>
      <x:c r="I14" s="14"/>
      <x:c r="J14" s="13"/>
      <x:c r="K14" s="11" t="str">
        <x:v>E25、E26</x:v>
      </x:c>
    </x:row>
    <x:row r="15" ht="90" customHeight="1">
      <x:c r="A15" s="11" t="str">
        <x:v>T08</x:v>
      </x:c>
      <x:c r="B15" s="11" t="str">
        <x:v>两类船</x:v>
      </x:c>
      <x:c r="C15" s="11" t="str">
        <x:v>谐波计算更新</x:v>
      </x:c>
      <x:c r="D15" s="11" t="str">
        <x:v>落实待核实</x:v>
      </x:c>
      <x:c r="E15" s="11" t="str">
        <x:v>按实际设备参数和电缆长度重算；双层答复称已修改长度，仍需确认最终模型及施工一致。</x:v>
      </x:c>
      <x:c r="F15" s="11" t="str">
        <x:v>集成商/设计院</x:v>
      </x:c>
      <x:c r="G15" s="11" t="str">
        <x:v>系泊前</x:v>
      </x:c>
      <x:c r="H15" s="14"/>
      <x:c r="I15" s="14"/>
      <x:c r="J15" s="13"/>
      <x:c r="K15" s="11" t="str">
        <x:v>E27、E30</x:v>
      </x:c>
    </x:row>
    <x:row r="16" ht="90" customHeight="1">
      <x:c r="A16" s="11" t="str">
        <x:v>T09</x:v>
      </x:c>
      <x:c r="B16" s="11" t="str">
        <x:v>两类船</x:v>
      </x:c>
      <x:c r="C16" s="11" t="str">
        <x:v>谐波实船测试</x:v>
      </x:c>
      <x:c r="D16" s="11" t="str">
        <x:v>未见完成记录</x:v>
      </x:c>
      <x:c r="E16" s="11" t="str">
        <x:v>记录提出系泊实测，技术协议要求试航测试；协调两阶段大纲、工况和最终报告。</x:v>
      </x:c>
      <x:c r="F16" s="11" t="str">
        <x:v>集成商/船厂</x:v>
      </x:c>
      <x:c r="G16" s="11" t="str">
        <x:v>系泊及试航</x:v>
      </x:c>
      <x:c r="H16" s="14"/>
      <x:c r="I16" s="14"/>
      <x:c r="J16" s="13"/>
      <x:c r="K16" s="11" t="str">
        <x:v>E25、E27</x:v>
      </x:c>
    </x:row>
    <x:row r="17" ht="90" customHeight="1">
      <x:c r="A17" s="11" t="str">
        <x:v>T10</x:v>
      </x:c>
      <x:c r="B17" s="11" t="str">
        <x:v>两类船</x:v>
      </x:c>
      <x:c r="C17" s="11" t="str">
        <x:v>电机冷却及热工况</x:v>
      </x:c>
      <x:c r="D17" s="11" t="str">
        <x:v>口径待统一</x:v>
      </x:c>
      <x:c r="E17" s="11" t="str">
        <x:v>获批答复及协议为强制风冷，笔记为自冷；确认实机冷却、额定参数和低速高扭矩能力。</x:v>
      </x:c>
      <x:c r="F17" s="11" t="str">
        <x:v>电机厂/集成商</x:v>
      </x:c>
      <x:c r="G17" s="11" t="str">
        <x:v>试验大纲冻结前</x:v>
      </x:c>
      <x:c r="H17" s="14"/>
      <x:c r="I17" s="14"/>
      <x:c r="J17" s="13"/>
      <x:c r="K17" s="11" t="str">
        <x:v>E25、E28、E29、E30</x:v>
      </x:c>
    </x:row>
    <x:row r="18" ht="90" customHeight="1">
      <x:c r="A18" s="11" t="str">
        <x:v>T11</x:v>
      </x:c>
      <x:c r="B18" s="11" t="str">
        <x:v>适用船型待确认</x:v>
      </x:c>
      <x:c r="C18" s="11" t="str">
        <x:v>连续50往返温升</x:v>
      </x:c>
      <x:c r="D18" s="11" t="str">
        <x:v>未见完成记录</x:v>
      </x:c>
      <x:c r="E18" s="11" t="str">
        <x:v>需求参考轮渡11/12连续50往返，温度承接上一循环；补工况输入、试验/计算方案及记录。</x:v>
      </x:c>
      <x:c r="F18" s="11" t="str">
        <x:v>船东/集成商</x:v>
      </x:c>
      <x:c r="G18" s="11" t="str">
        <x:v>专项验收前</x:v>
      </x:c>
      <x:c r="H18" s="14"/>
      <x:c r="I18" s="14"/>
      <x:c r="J18" s="13"/>
      <x:c r="K18" s="11" t="str">
        <x:v>E28</x:v>
      </x:c>
    </x:row>
    <x:row r="19" ht="90" customHeight="1">
      <x:c r="A19" s="11" t="str">
        <x:v>T12</x:v>
      </x:c>
      <x:c r="B19" s="11" t="str">
        <x:v>两类船</x:v>
      </x:c>
      <x:c r="C19" s="11" t="str">
        <x:v>倒车及再生能量</x:v>
      </x:c>
      <x:c r="D19" s="11" t="str">
        <x:v>方案待确认</x:v>
      </x:c>
      <x:c r="E19" s="11" t="str">
        <x:v>笔记要求确认轴反转及再生能量去向；补控制逻辑和能量处理方案。</x:v>
      </x:c>
      <x:c r="F19" s="11" t="str">
        <x:v>集成商/变频器厂</x:v>
      </x:c>
      <x:c r="G19" s="11" t="str">
        <x:v>联调前</x:v>
      </x:c>
      <x:c r="H19" s="14"/>
      <x:c r="I19" s="14"/>
      <x:c r="J19" s="13"/>
      <x:c r="K19" s="11" t="str">
        <x:v>E25、E28</x:v>
      </x:c>
    </x:row>
    <x:row r="20" ht="90" customHeight="1">
      <x:c r="A20" s="11" t="str">
        <x:v>T13</x:v>
      </x:c>
      <x:c r="B20" s="11" t="str">
        <x:v>两类船</x:v>
      </x:c>
      <x:c r="C20" s="11" t="str">
        <x:v>PMS故障及重载响应</x:v>
      </x:c>
      <x:c r="D20" s="11" t="str">
        <x:v>未见完成记录</x:v>
      </x:c>
      <x:c r="E20" s="11" t="str">
        <x:v>协议有功率限制/快速降负荷功能，笔记要求故障限功率和重载响应；补试验大纲与动作时序记录。</x:v>
      </x:c>
      <x:c r="F20" s="11" t="str">
        <x:v>集成商/PMS厂</x:v>
      </x:c>
      <x:c r="G20" s="11" t="str">
        <x:v>系泊验收前</x:v>
      </x:c>
      <x:c r="H20" s="14"/>
      <x:c r="I20" s="14"/>
      <x:c r="J20" s="13"/>
      <x:c r="K20" s="11" t="str">
        <x:v>E25、E28</x:v>
      </x:c>
    </x:row>
    <x:row r="21" ht="90" customHeight="1">
      <x:c r="A21" s="11" t="str">
        <x:v>T14</x:v>
      </x:c>
      <x:c r="B21" s="11" t="str">
        <x:v>适用范围待确认</x:v>
      </x:c>
      <x:c r="C21" s="11" t="str">
        <x:v>数字化采集及交付</x:v>
      </x:c>
      <x:c r="D21" s="11" t="str">
        <x:v>方案待确认</x:v>
      </x:c>
      <x:c r="E21" s="11" t="str">
        <x:v>笔记拟要求负荷≤1秒、温度≤5秒、事件20-100毫秒，需服务商确认能力、同步及开放数据导出。</x:v>
      </x:c>
      <x:c r="F21" s="11" t="str">
        <x:v>集成商/数据服务商</x:v>
      </x:c>
      <x:c r="G21" s="11" t="str">
        <x:v>专项验收前</x:v>
      </x:c>
      <x:c r="H21" s="14"/>
      <x:c r="I21" s="14"/>
      <x:c r="J21" s="13"/>
      <x:c r="K21" s="11" t="str">
        <x:v>E28</x:v>
      </x:c>
    </x:row>
    <x:row r="22" ht="90" customHeight="1">
      <x:c r="A22" s="11" t="str">
        <x:v>T15</x:v>
      </x:c>
      <x:c r="B22" s="11" t="str">
        <x:v>两类船</x:v>
      </x:c>
      <x:c r="C22" s="11" t="str">
        <x:v>证书与最终资料</x:v>
      </x:c>
      <x:c r="D22" s="11" t="str">
        <x:v>未见完成记录</x:v>
      </x:c>
      <x:c r="E22" s="11" t="str">
        <x:v>收齐CCS产品证书及清单、FAT/现场报告、完工图、维护手册和培训签收。</x:v>
      </x:c>
      <x:c r="F22" s="11" t="str">
        <x:v>集成商/船厂</x:v>
      </x:c>
      <x:c r="G22" s="11" t="str">
        <x:v>设备交货及交船</x:v>
      </x:c>
      <x:c r="H22" s="14"/>
      <x:c r="I22" s="14"/>
      <x:c r="J22" s="13"/>
      <x:c r="K22" s="11" t="str">
        <x:v>E25</x:v>
      </x:c>
    </x:row>
    <x:row r="23" ht="90" customHeight="1">
      <x:c r="A23" s="11" t="str">
        <x:v>T16</x:v>
      </x:c>
      <x:c r="B23" s="11" t="str">
        <x:v>全部资料</x:v>
      </x:c>
      <x:c r="C23" s="11" t="str">
        <x:v>船型及版本归档</x:v>
      </x:c>
      <x:c r="D23" s="11" t="str">
        <x:v>需核对</x:v>
      </x:c>
      <x:c r="E23" s="11" t="str">
        <x:v>双层电气目录含单层20003/SMU4126的003E副本；双层艉管文件置于单层目录；数字化笔记标题与柴油发电电推范围不同。</x:v>
      </x:c>
      <x:c r="F23" s="11" t="str">
        <x:v>资料负责人</x:v>
      </x:c>
      <x:c r="G23" s="11" t="str">
        <x:v>立即核对</x:v>
      </x:c>
      <x:c r="H23" s="14"/>
      <x:c r="I23" s="14"/>
      <x:c r="J23" s="13"/>
      <x:c r="K23" s="11" t="str">
        <x:v>E01-E24、E28</x:v>
      </x:c>
    </x:row>
    <x:row r="24" ht="3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conditionalFormatting sqref="D8:D23">
    <x:cfRule type="containsText" dxfId="0" priority="1" operator="containsText" text="文件获批"/>
    <x:cfRule type="containsText" dxfId="1" priority="2" operator="containsText" text="现场已完成"/>
    <x:cfRule type="containsText" dxfId="2" priority="3" operator="containsText" text="未见完成记录"/>
    <x:cfRule type="containsText" dxfId="3" priority="4" operator="containsText" text="口径待统一"/>
    <x:cfRule type="containsText" dxfId="4" priority="5" operator="containsText" text="关闭待核实"/>
  </x:conditionalFormatting>
  <x:dataValidations count="1">
    <x:dataValidation type="list" sqref="D8:D23">
      <x:formula1>"文件获批,现场待核实,实绩待核实,落实待核实,关闭待核实,口径待统一,未见完成记录,方案待确认,需核对,现场已完成"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7f0c56548b4d0f"/>
  </x:tableParts>
</x:worksheet>
</file>

<file path=xl/worksheets/sheet3.xml><?xml version="1.0" encoding="utf-8"?>
<x:worksheet xmlns:x="http://schemas.openxmlformats.org/spreadsheetml/2006/main">
  <x:sheetPr>
    <x:tabColor rgb="FF91A6B8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7.329999923706055" hidden="0" customWidth="1"/>
    <x:col min="2" max="2" width="12.4399995803833" hidden="0" customWidth="1"/>
    <x:col min="3" max="3" width="15.5600004196167" hidden="0" customWidth="1"/>
    <x:col min="4" max="4" width="25.559999465942383" hidden="0" customWidth="1"/>
    <x:col min="5" max="5" width="75.55999755859375" hidden="0" customWidth="1"/>
    <x:col min="6" max="6" width="113.33000183105469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2" customHeight="1">
      <x:c r="A2" s="4" t="str">
        <x:v>证据索引及归档核对</x:v>
      </x:c>
      <x:c r="B2" s="5"/>
      <x:c r="C2" s="5"/>
      <x:c r="D2" s="5"/>
      <x:c r="E2" s="5"/>
      <x:c r="F2" s="5"/>
    </x:row>
    <x:row r="3" ht="30" customHeight="1">
      <x:c r="A3" s="2" t="str">
        <x:v>清点212份文件（不含.DS_Store），按SHA256去重181份，审图意见书去重24份。</x:v>
      </x:c>
      <x:c r="B3" s="2"/>
      <x:c r="C3" s="2"/>
      <x:c r="D3" s="2"/>
      <x:c r="E3" s="2"/>
      <x:c r="F3" s="2"/>
    </x:row>
    <x:row r="4" ht="30" customHeight="1">
      <x:c r="A4" s="2" t="str">
        <x:v>日期取文件正文。无正文日期留空，文件修改时间不代表工程完成日。</x:v>
      </x:c>
      <x:c r="B4" s="2"/>
      <x:c r="C4" s="2"/>
      <x:c r="D4" s="2"/>
      <x:c r="E4" s="2"/>
      <x:c r="F4" s="2"/>
    </x:row>
    <x:row r="5" ht="30" customHeight="1">
      <x:c r="A5" s="2" t="str">
        <x:v>意见代码：A批准无意见；AC批准有意见；N备查；NC备查有意见；R非审核范围；TS转现场验船师。</x:v>
      </x:c>
      <x:c r="B5" s="2"/>
      <x:c r="C5" s="2"/>
      <x:c r="D5" s="2"/>
      <x:c r="E5" s="2"/>
      <x:c r="F5" s="2"/>
    </x:row>
    <x:row r="6" ht="30" customHeight="1">
      <x:c r="A6" s="2"/>
      <x:c r="B6" s="2"/>
      <x:c r="C6" s="2"/>
      <x:c r="D6" s="2"/>
      <x:c r="E6" s="2"/>
      <x:c r="F6" s="2"/>
    </x:row>
    <x:row r="7" ht="36" customHeight="1">
      <x:c r="A7" s="10" t="str">
        <x:v>证据ID</x:v>
      </x:c>
      <x:c r="B7" s="10" t="str">
        <x:v>正文日期</x:v>
      </x:c>
      <x:c r="C7" s="10" t="str">
        <x:v>适用范围</x:v>
      </x:c>
      <x:c r="D7" s="10" t="str">
        <x:v>审图控制号/资料</x:v>
      </x:c>
      <x:c r="E7" s="10" t="str">
        <x:v>原文结果或核对结论</x:v>
      </x:c>
      <x:c r="F7" s="10" t="str">
        <x:v>来源位置（项目目录内）</x:v>
      </x:c>
    </x:row>
    <x:row r="8" ht="70" customHeight="1">
      <x:c r="A8" s="11" t="str">
        <x:v>E01</x:v>
      </x:c>
      <x:c r="B8" s="12" t="d">
        <x:v>2026-04-29T00:00:00.000Z</x:v>
      </x:c>
      <x:c r="C8" s="11" t="str">
        <x:v>单层16</x:v>
      </x:c>
      <x:c r="D8" s="11" t="str">
        <x:v>SH26DNP20003-001E</x:v>
      </x:c>
      <x:c r="E8" s="11" t="str">
        <x:v>单层电气首轮：24项图纸审核，含A、AC、NC、R。</x:v>
      </x:c>
      <x:c r="F8" s="11" t="str">
        <x:v>单层/单层电气/SH26DNP20003_001E/SH26DNP20003-001E 审图意见（电气）.pdf</x:v>
      </x:c>
    </x:row>
    <x:row r="9" ht="70" customHeight="1">
      <x:c r="A9" s="11" t="str">
        <x:v>E02</x:v>
      </x:c>
      <x:c r="B9" s="12" t="d">
        <x:v>2026-07-13T00:00:00.000Z</x:v>
      </x:c>
      <x:c r="C9" s="11" t="str">
        <x:v>单层16</x:v>
      </x:c>
      <x:c r="D9" s="11" t="str">
        <x:v>SH26DNP20003-002E</x:v>
      </x:c>
      <x:c r="E9" s="11" t="str">
        <x:v>单层电气修订：16项审核，继续要求修改及重送保护协调分析。</x:v>
      </x:c>
      <x:c r="F9" s="11" t="str">
        <x:v>单层/单层电气/SH26DNP20003_002E（B）/SH26DNP20003-002E审图意见（电气）.pdf</x:v>
      </x:c>
    </x:row>
    <x:row r="10" ht="70" customHeight="1">
      <x:c r="A10" s="11" t="str">
        <x:v>E03</x:v>
      </x:c>
      <x:c r="B10" s="12" t="d">
        <x:v>2026-07-27T00:00:00.000Z</x:v>
      </x:c>
      <x:c r="C10" s="11" t="str">
        <x:v>单层16</x:v>
      </x:c>
      <x:c r="D10" s="11" t="str">
        <x:v>SH26DNP20003-003E</x:v>
      </x:c>
      <x:c r="E10" s="11" t="str">
        <x:v>单层电气：002E答复获A；短路计算C版、保护协调B版等获AC，新增停车报警确认。</x:v>
      </x:c>
      <x:c r="F10" s="11" t="str">
        <x:v>单层/单层电气/SH26DNP20003_003E/SH26DNP20003-003E 审图意见（电气）.pdf</x:v>
      </x:c>
    </x:row>
    <x:row r="11" ht="70" customHeight="1">
      <x:c r="A11" s="11" t="str">
        <x:v>E04</x:v>
      </x:c>
      <x:c r="B11" s="12" t="d">
        <x:v>2026-07-30T00:00:00.000Z</x:v>
      </x:c>
      <x:c r="C11" s="11" t="str">
        <x:v>单层16</x:v>
      </x:c>
      <x:c r="D11" s="11" t="str">
        <x:v>SH26DNP20003-004E</x:v>
      </x:c>
      <x:c r="E11" s="11" t="str">
        <x:v>单层电气：003E意见答复书获A，答复了驾驶室发电机停车报警。</x:v>
      </x:c>
      <x:c r="F11" s="11" t="str">
        <x:v>单层/单层电气/SH26DNP20003_004E/SH26DNP20003-004E 审图意见（电气）.pdf</x:v>
      </x:c>
    </x:row>
    <x:row r="12" ht="70" customHeight="1">
      <x:c r="A12" s="11" t="str">
        <x:v>E05</x:v>
      </x:c>
      <x:c r="B12" s="12" t="d">
        <x:v>2026-07-31T00:00:00.000Z</x:v>
      </x:c>
      <x:c r="C12" s="11" t="str">
        <x:v>单层16</x:v>
      </x:c>
      <x:c r="D12" s="11" t="str">
        <x:v>SH26DNP20003-005E</x:v>
      </x:c>
      <x:c r="E12" s="11" t="str">
        <x:v>单层电气：001E修改通知单获A。</x:v>
      </x:c>
      <x:c r="F12" s="11" t="str">
        <x:v>单层/单层电气/SH26DNP20003_005E/SH26DNP20003-005E 审图意见（电气）.pdf</x:v>
      </x:c>
    </x:row>
    <x:row r="13" ht="70" customHeight="1">
      <x:c r="A13" s="11" t="str">
        <x:v>E06</x:v>
      </x:c>
      <x:c r="B13" s="12" t="d">
        <x:v>2026-04-02T00:00:00.000Z</x:v>
      </x:c>
      <x:c r="C13" s="11" t="str">
        <x:v>单层16</x:v>
      </x:c>
      <x:c r="D13" s="11" t="str">
        <x:v>SH26DNP20003-001M</x:v>
      </x:c>
      <x:c r="E13" s="11" t="str">
        <x:v>单层轮机：螺旋桨计算书及图获A，舵机原理图NC。</x:v>
      </x:c>
      <x:c r="F13" s="11" t="str">
        <x:v>单层/单层轮机/SH26DNP20003-001M 审图意见（轮机）.pdf</x:v>
      </x:c>
    </x:row>
    <x:row r="14" ht="70" customHeight="1">
      <x:c r="A14" s="11" t="str">
        <x:v>E07</x:v>
      </x:c>
      <x:c r="B14" s="12" t="d">
        <x:v>2026-04-07T00:00:00.000Z</x:v>
      </x:c>
      <x:c r="C14" s="11" t="str">
        <x:v>单层16</x:v>
      </x:c>
      <x:c r="D14" s="11" t="str">
        <x:v>SH26DNP20003-002M</x:v>
      </x:c>
      <x:c r="E14" s="11" t="str">
        <x:v>单层轮机：机舱布置A；电机及齿轮箱安装图TS；产品证书须现场核查。</x:v>
      </x:c>
      <x:c r="F14" s="11" t="str">
        <x:v>单层/单层轮机/SH26DNP20003-002M 审图意见（轮机）.pdf</x:v>
      </x:c>
    </x:row>
    <x:row r="15" ht="70" customHeight="1">
      <x:c r="A15" s="11" t="str">
        <x:v>E08</x:v>
      </x:c>
      <x:c r="B15" s="12" t="d">
        <x:v>2026-04-16T00:00:00.000Z</x:v>
      </x:c>
      <x:c r="C15" s="11" t="str">
        <x:v>单层16</x:v>
      </x:c>
      <x:c r="D15" s="11" t="str">
        <x:v>SH26DNP20003-003M</x:v>
      </x:c>
      <x:c r="E15" s="11" t="str">
        <x:v>单层轮机：轴系强度、尾轴、联轴节、中间轴等获A；联接盘N。</x:v>
      </x:c>
      <x:c r="F15" s="11" t="str">
        <x:v>单层/单层轮机/SH26DNP20003-003M 审图意见（轮机）.pdf</x:v>
      </x:c>
    </x:row>
    <x:row r="16" ht="70" customHeight="1">
      <x:c r="A16" s="11" t="str">
        <x:v>E09</x:v>
      </x:c>
      <x:c r="B16" s="12" t="d">
        <x:v>2026-04-30T00:00:00.000Z</x:v>
      </x:c>
      <x:c r="C16" s="11" t="str">
        <x:v>单层16</x:v>
      </x:c>
      <x:c r="D16" s="11" t="str">
        <x:v>SH26DNP20003-004M</x:v>
      </x:c>
      <x:c r="E16" s="11" t="str">
        <x:v>单层轮机：001M意见答复获A。</x:v>
      </x:c>
      <x:c r="F16" s="11" t="str">
        <x:v>单层/单层轮机/SH26DNP20003-004M 审图意见（轮机）.pdf</x:v>
      </x:c>
    </x:row>
    <x:row r="17" ht="70" customHeight="1">
      <x:c r="A17" s="11" t="str">
        <x:v>E10</x:v>
      </x:c>
      <x:c r="B17" s="12" t="d">
        <x:v>2026-06-01T00:00:00.000Z</x:v>
      </x:c>
      <x:c r="C17" s="11" t="str">
        <x:v>单层16</x:v>
      </x:c>
      <x:c r="D17" s="11" t="str">
        <x:v>SH26DNP20003-005M</x:v>
      </x:c>
      <x:c r="E17" s="11" t="str">
        <x:v>单层轮机：管系审核，燃油、透气、消防等含AC。</x:v>
      </x:c>
      <x:c r="F17" s="11" t="str">
        <x:v>单层/单层轮机/SH26DNP20003-005M 审图意见（轮机）.pdf</x:v>
      </x:c>
    </x:row>
    <x:row r="18" ht="70" customHeight="1">
      <x:c r="A18" s="11" t="str">
        <x:v>E11</x:v>
      </x:c>
      <x:c r="B18" s="12" t="d">
        <x:v>2026-09-02T00:00:00.000Z</x:v>
      </x:c>
      <x:c r="C18" s="11" t="str">
        <x:v>单层16</x:v>
      </x:c>
      <x:c r="D18" s="11" t="str">
        <x:v>SH26DNP20003-008M</x:v>
      </x:c>
      <x:c r="E18" s="11" t="str">
        <x:v>单层轮机：SMU4126-425-07艉管图A版获A。</x:v>
      </x:c>
      <x:c r="F18" s="11" t="str">
        <x:v>单层/单层轮机/SH26DNP20003-008M审图意见（轮机）.pdf</x:v>
      </x:c>
    </x:row>
    <x:row r="19" ht="70" customHeight="1">
      <x:c r="A19" s="11" t="str">
        <x:v>E12</x:v>
      </x:c>
      <x:c r="B19" s="12" t="d">
        <x:v>2026-07-01T00:00:00.000Z</x:v>
      </x:c>
      <x:c r="C19" s="11" t="str">
        <x:v>单层16</x:v>
      </x:c>
      <x:c r="D19" s="11" t="str">
        <x:v>SH26DNP20003-006M</x:v>
      </x:c>
      <x:c r="E19" s="11" t="str">
        <x:v>单层轮机：机舱及管系B版、两份修改通知单均获A，相应旧A版作废。</x:v>
      </x:c>
      <x:c r="F19" s="11" t="str">
        <x:v>单层/单层轮机/SH26DNP20003_006M/SH26DNP20003-006M审图意见（轮机）.pdf</x:v>
      </x:c>
    </x:row>
    <x:row r="20" ht="70" customHeight="1">
      <x:c r="A20" s="11" t="str">
        <x:v>E13</x:v>
      </x:c>
      <x:c r="B20" s="12" t="d">
        <x:v>2026-07-31T00:00:00.000Z</x:v>
      </x:c>
      <x:c r="C20" s="11" t="str">
        <x:v>单层16</x:v>
      </x:c>
      <x:c r="D20" s="11" t="str">
        <x:v>SH26DNP20003-007M</x:v>
      </x:c>
      <x:c r="E20" s="11" t="str">
        <x:v>单层轮机：005M意见答复获A。</x:v>
      </x:c>
      <x:c r="F20" s="11" t="str">
        <x:v>单层/单层轮机/SH26DNP20003_007M/SH26DNP20003-007M 审图意见（轮机）.pdf</x:v>
      </x:c>
    </x:row>
    <x:row r="21" ht="70" customHeight="1">
      <x:c r="A21" s="11" t="str">
        <x:v>E14</x:v>
      </x:c>
      <x:c r="B21" s="12" t="d">
        <x:v>2026-09-02T00:00:00.000Z</x:v>
      </x:c>
      <x:c r="C21" s="11" t="str">
        <x:v>双层13、15</x:v>
      </x:c>
      <x:c r="D21" s="11" t="str">
        <x:v>SH26DNP20004-009M</x:v>
      </x:c>
      <x:c r="E21" s="11" t="str">
        <x:v>双层轮机：SMU4127-425-07艉管图A版获A。文件存于单层目录。</x:v>
      </x:c>
      <x:c r="F21" s="11" t="str">
        <x:v>单层/单层轮机/SH26DNP20004-009M审图意见（轮机）.pdf</x:v>
      </x:c>
    </x:row>
    <x:row r="22" ht="70" customHeight="1">
      <x:c r="A22" s="11" t="str">
        <x:v>E15</x:v>
      </x:c>
      <x:c r="B22" s="12" t="d">
        <x:v>2026-09-03T00:00:00.000Z</x:v>
      </x:c>
      <x:c r="C22" s="11" t="str">
        <x:v>双层13、15</x:v>
      </x:c>
      <x:c r="D22" s="11" t="str">
        <x:v>SH26DNP20004-002E</x:v>
      </x:c>
      <x:c r="E22" s="11" t="str">
        <x:v>双层电气：001E意见答复书获A。仍需实船核验及确认施工图落实。</x:v>
      </x:c>
      <x:c r="F22" s="11" t="str">
        <x:v>双层/电气/SH26DNP20004-002E审图意见（电气）(2).pdf</x:v>
      </x:c>
    </x:row>
    <x:row r="23" ht="70" customHeight="1">
      <x:c r="A23" s="11" t="str">
        <x:v>E16</x:v>
      </x:c>
      <x:c r="B23" s="12" t="d">
        <x:v>2026-08-26T00:00:00.000Z</x:v>
      </x:c>
      <x:c r="C23" s="11" t="str">
        <x:v>双层13、15</x:v>
      </x:c>
      <x:c r="D23" s="11" t="str">
        <x:v>SH26DNP20004-001E</x:v>
      </x:c>
      <x:c r="E23" s="11" t="str">
        <x:v>双层电气首轮：24项审核，谐波、保护协调、推进及报警等含AC。</x:v>
      </x:c>
      <x:c r="F23" s="11" t="str">
        <x:v>双层/电气/SH26DNP20004_001E/SH26DNP20004-001E 审图意见（电气）.pdf</x:v>
      </x:c>
    </x:row>
    <x:row r="24" ht="70" customHeight="1">
      <x:c r="A24" s="11" t="str">
        <x:v>E17</x:v>
      </x:c>
      <x:c r="B24" s="12" t="d">
        <x:v>2026-04-03T00:00:00.000Z</x:v>
      </x:c>
      <x:c r="C24" s="11" t="str">
        <x:v>双层13、15</x:v>
      </x:c>
      <x:c r="D24" s="11" t="str">
        <x:v>SH26DNP20004-001M</x:v>
      </x:c>
      <x:c r="E24" s="11" t="str">
        <x:v>双层轮机：螺旋桨计算书及图获A，舵机原理图NC。</x:v>
      </x:c>
      <x:c r="F24" s="11" t="str">
        <x:v>双层/轮机/SH26DNP20004-001M 审图意见（轮机）.pdf</x:v>
      </x:c>
    </x:row>
    <x:row r="25" ht="70" customHeight="1">
      <x:c r="A25" s="11" t="str">
        <x:v>E18</x:v>
      </x:c>
      <x:c r="B25" s="12" t="d">
        <x:v>2026-04-07T00:00:00.000Z</x:v>
      </x:c>
      <x:c r="C25" s="11" t="str">
        <x:v>双层13、15</x:v>
      </x:c>
      <x:c r="D25" s="11" t="str">
        <x:v>SH26DNP20004-002M</x:v>
      </x:c>
      <x:c r="E25" s="11" t="str">
        <x:v>双层轮机：机舱布置A；电机及齿轮箱安装图TS；产品证书须现场核查。</x:v>
      </x:c>
      <x:c r="F25" s="11" t="str">
        <x:v>双层/轮机/SH26DNP20004-002M 审图意见（轮机）.pdf</x:v>
      </x:c>
    </x:row>
    <x:row r="26" ht="70" customHeight="1">
      <x:c r="A26" s="11" t="str">
        <x:v>E19</x:v>
      </x:c>
      <x:c r="B26" s="12" t="d">
        <x:v>2026-04-17T00:00:00.000Z</x:v>
      </x:c>
      <x:c r="C26" s="11" t="str">
        <x:v>双层13、15</x:v>
      </x:c>
      <x:c r="D26" s="11" t="str">
        <x:v>SH26DNP20004-003M</x:v>
      </x:c>
      <x:c r="E26" s="11" t="str">
        <x:v>双层轮机：轴系强度、尾轴、联轴节、中间轴等获A；联接盘N。</x:v>
      </x:c>
      <x:c r="F26" s="11" t="str">
        <x:v>双层/轮机/SH26DNP20004-003M 审图意见（轮机）.pdf</x:v>
      </x:c>
    </x:row>
    <x:row r="27" ht="70" customHeight="1">
      <x:c r="A27" s="11" t="str">
        <x:v>E20</x:v>
      </x:c>
      <x:c r="B27" s="12" t="d">
        <x:v>2026-04-30T00:00:00.000Z</x:v>
      </x:c>
      <x:c r="C27" s="11" t="str">
        <x:v>双层13、15</x:v>
      </x:c>
      <x:c r="D27" s="11" t="str">
        <x:v>SH26DNP20004-004M</x:v>
      </x:c>
      <x:c r="E27" s="11" t="str">
        <x:v>双层轮机：001M意见答复获A。</x:v>
      </x:c>
      <x:c r="F27" s="11" t="str">
        <x:v>双层/轮机/SH26DNP20004-004M 审图意见（轮机）.pdf</x:v>
      </x:c>
    </x:row>
    <x:row r="28" ht="70" customHeight="1">
      <x:c r="A28" s="11" t="str">
        <x:v>E21</x:v>
      </x:c>
      <x:c r="B28" s="12" t="d">
        <x:v>2026-06-03T00:00:00.000Z</x:v>
      </x:c>
      <x:c r="C28" s="11" t="str">
        <x:v>双层13、15</x:v>
      </x:c>
      <x:c r="D28" s="11" t="str">
        <x:v>SH26DNP20004-005M</x:v>
      </x:c>
      <x:c r="E28" s="11" t="str">
        <x:v>双层轮机：13项管系审核，燃油、透气、污水、通风等含AC。</x:v>
      </x:c>
      <x:c r="F28" s="11" t="str">
        <x:v>双层/轮机/SH26DNP20004-005M 审图意见（轮机）.pdf</x:v>
      </x:c>
    </x:row>
    <x:row r="29" ht="70" customHeight="1">
      <x:c r="A29" s="11" t="str">
        <x:v>E22</x:v>
      </x:c>
      <x:c r="B29" s="12" t="d">
        <x:v>2026-07-07T00:00:00.000Z</x:v>
      </x:c>
      <x:c r="C29" s="11" t="str">
        <x:v>双层13、15</x:v>
      </x:c>
      <x:c r="D29" s="11" t="str">
        <x:v>SH26DNP20004-006M</x:v>
      </x:c>
      <x:c r="E29" s="11" t="str">
        <x:v>双层轮机：机舱及管系B版共5项均获A，相应旧A版作废。</x:v>
      </x:c>
      <x:c r="F29" s="11" t="str">
        <x:v>双层/轮机/SH26DNP20004_006M/SH26DNP20004-006M 审图意见（轮机）.pdf</x:v>
      </x:c>
    </x:row>
    <x:row r="30" ht="70" customHeight="1">
      <x:c r="A30" s="11" t="str">
        <x:v>E23</x:v>
      </x:c>
      <x:c r="B30" s="12" t="d">
        <x:v>2026-07-31T00:00:00.000Z</x:v>
      </x:c>
      <x:c r="C30" s="11" t="str">
        <x:v>双层13、15</x:v>
      </x:c>
      <x:c r="D30" s="11" t="str">
        <x:v>SH26DNP20004-007M</x:v>
      </x:c>
      <x:c r="E30" s="11" t="str">
        <x:v>双层轮机：005M意见答复获A。</x:v>
      </x:c>
      <x:c r="F30" s="11" t="str">
        <x:v>双层/轮机/SH26DNP20004_007M/SH26DNP20004-007M 审图意见（轮机）.pdf</x:v>
      </x:c>
    </x:row>
    <x:row r="31" ht="70" customHeight="1">
      <x:c r="A31" s="11" t="str">
        <x:v>E24</x:v>
      </x:c>
      <x:c r="B31" s="12" t="d">
        <x:v>2026-07-06T00:00:00.000Z</x:v>
      </x:c>
      <x:c r="C31" s="11" t="str">
        <x:v>双层13、15</x:v>
      </x:c>
      <x:c r="D31" s="11" t="str">
        <x:v>SH26DNP20004-012H</x:v>
      </x:c>
      <x:c r="E31" s="11" t="str">
        <x:v>双层船体：009H答复A、010H答复AC，驾驶台前窗外倾意见未见后续关闭文件。</x:v>
      </x:c>
      <x:c r="F31" s="11" t="str">
        <x:v>双层/轮机/SH26DNP20004_012H/SH26DNP20004-012H 审图意见（船体）.pdf</x:v>
      </x:c>
    </x:row>
    <x:row r="32" ht="70" customHeight="1">
      <x:c r="A32" s="11" t="str">
        <x:v>E25</x:v>
      </x:c>
      <x:c r="B32" s="12" t="d">
        <x:v>2026-02-04T00:00:00.000Z</x:v>
      </x:c>
      <x:c r="C32" s="11" t="str">
        <x:v>共用协议</x:v>
      </x:c>
      <x:c r="D32" s="11" t="str">
        <x:v>技术协议</x:v>
      </x:c>
      <x:c r="E32" s="11" t="str">
        <x:v>协议正文日期02-04，文件名日期02-05。交货为合同生效后150天，生效日未提供。</x:v>
      </x:c>
      <x:c r="F32" s="11" t="str">
        <x:v>上海轮渡电力推进系统技术协议-20260205.docx</x:v>
      </x:c>
    </x:row>
    <x:row r="33" ht="70" customHeight="1">
      <x:c r="A33" s="11" t="str">
        <x:v>E26</x:v>
      </x:c>
      <x:c r="B33" s="12"/>
      <x:c r="C33" s="11" t="str">
        <x:v>项目目录</x:v>
      </x:c>
      <x:c r="D33" s="11" t="str">
        <x:v>阶段标记</x:v>
      </x:c>
      <x:c r="E33" s="11" t="str">
        <x:v>审图目录标1-10/进行中/04-29；建造目录标1-10/进行中/05-07，建造README明确为示例。</x:v>
      </x:c>
      <x:c r="F33" s="11" t="str">
        <x:v>README.md；建造_1-10_进行中_2026-05-07/README.md；审图_1-10_进行中_2026-04-29</x:v>
      </x:c>
    </x:row>
    <x:row r="34" ht="70" customHeight="1">
      <x:c r="A34" s="11" t="str">
        <x:v>E27</x:v>
      </x:c>
      <x:c r="B34" s="12"/>
      <x:c r="C34" s="11" t="str">
        <x:v>共用事项</x:v>
      </x:c>
      <x:c r="D34" s="11" t="str">
        <x:v>谐波记录</x:v>
      </x:c>
      <x:c r="E34" s="11" t="str">
        <x:v>提出建造中按实际设备型号与敷设更新谐波计算，系泊试验实测。记录无正文日期。</x:v>
      </x:c>
      <x:c r="F34" s="11" t="str">
        <x:v>建造_1-10_进行中_2026-05-07/谐波计算书 事宜.txt</x:v>
      </x:c>
    </x:row>
    <x:row r="35" ht="70" customHeight="1">
      <x:c r="A35" s="11" t="str">
        <x:v>E28</x:v>
      </x:c>
      <x:c r="B35" s="12"/>
      <x:c r="C35" s="11" t="str">
        <x:v>适用范围待核实</x:v>
      </x:c>
      <x:c r="D35" s="11" t="str">
        <x:v>数字化交付需求</x:v>
      </x:c>
      <x:c r="E35" s="11" t="str">
        <x:v>倒车再生、连续50往返热工况、PMS故障限功率和数字化记录均为需求，未见完成记录。</x:v>
      </x:c>
      <x:c r="F35" s="11" t="str">
        <x:v>电池动力船舶 数字化交付.md</x:v>
      </x:c>
    </x:row>
    <x:row r="36" ht="70" customHeight="1">
      <x:c r="A36" s="11" t="str">
        <x:v>E29</x:v>
      </x:c>
      <x:c r="B36" s="12" t="d">
        <x:v>2026-07-27T00:00:00.000Z</x:v>
      </x:c>
      <x:c r="C36" s="11" t="str">
        <x:v>单层16</x:v>
      </x:c>
      <x:c r="D36" s="11" t="str">
        <x:v>推进电机通风答复</x:v>
      </x:c>
      <x:c r="E36" s="11" t="str">
        <x:v>持续强制通风、直读温度及远程报警答复，获A。与数字化笔记中的自冷表述须核实。</x:v>
      </x:c>
      <x:c r="F36" s="11" t="str">
        <x:v>单层/单层电气/SH26DNP20003_003E/003E_SMU4126-003-02_A_电气意见答复书(002E)_forReturn_86220871.pdf</x:v>
      </x:c>
    </x:row>
    <x:row r="37" ht="70" customHeight="1">
      <x:c r="A37" s="11" t="str">
        <x:v>E30</x:v>
      </x:c>
      <x:c r="B37" s="12" t="d">
        <x:v>2026-09-03T00:00:00.000Z</x:v>
      </x:c>
      <x:c r="C37" s="11" t="str">
        <x:v>双层13、15</x:v>
      </x:c>
      <x:c r="D37" s="11" t="str">
        <x:v>电气答复</x:v>
      </x:c>
      <x:c r="E37" s="11" t="str">
        <x:v>持续强制通风及接地保护等答复获A；谐波电缆长度已在答复中承诺修改，实测仍需核查。</x:v>
      </x:c>
      <x:c r="F37" s="11" t="str">
        <x:v>双层/电气/002E_SMU4127-003-01_A_电气意见答复书(001E)_forReturn_87849310.pdf</x:v>
      </x:c>
    </x:row>
    <x:row r="38" ht="30" customHeight="1">
      <x:c r="A38" s="2"/>
      <x:c r="B38" s="2"/>
      <x:c r="C38" s="2"/>
      <x:c r="D38" s="2"/>
      <x:c r="E38" s="2"/>
      <x:c r="F38" s="2"/>
    </x:row>
    <x:row r="39" ht="30" customHeight="1">
      <x:c r="A39" s="2"/>
      <x:c r="B39" s="2"/>
      <x:c r="C39" s="2"/>
      <x:c r="D39" s="2"/>
      <x:c r="E39" s="2"/>
      <x:c r="F39" s="2"/>
    </x:row>
    <x:row r="40" ht="3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  <x:tableParts count="1">
    <x:tablePart xmlns:r="http://schemas.openxmlformats.org/officeDocument/2006/relationships" r:id="Re80ba5f546964611"/>
  </x:tableParts>
</x:worksheet>
</file>